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dek\Desktop\Studimet\Shkenca AEEiTK\2025\Nietypowy przekształtnik\"/>
    </mc:Choice>
  </mc:AlternateContent>
  <xr:revisionPtr revIDLastSave="0" documentId="13_ncr:1_{23BF3156-AEFF-4104-BF9F-8AD782BC0F81}" xr6:coauthVersionLast="47" xr6:coauthVersionMax="47" xr10:uidLastSave="{00000000-0000-0000-0000-000000000000}"/>
  <bookViews>
    <workbookView xWindow="-110" yWindow="-110" windowWidth="25820" windowHeight="13900" xr2:uid="{19C5BD69-8DF0-4BB6-927C-4548F2C0B2C7}"/>
  </bookViews>
  <sheets>
    <sheet name="Planarne prostokąt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" i="1" l="1"/>
  <c r="P45" i="1" s="1"/>
  <c r="G31" i="1"/>
  <c r="P36" i="1"/>
  <c r="P38" i="1"/>
  <c r="P37" i="1"/>
  <c r="P26" i="1"/>
  <c r="P25" i="1"/>
  <c r="P41" i="1" l="1"/>
  <c r="P47" i="1" s="1"/>
  <c r="P32" i="1"/>
  <c r="G44" i="1"/>
  <c r="G26" i="1"/>
  <c r="P27" i="1"/>
  <c r="G25" i="1"/>
  <c r="G24" i="1"/>
  <c r="G23" i="1"/>
  <c r="G21" i="1"/>
  <c r="G22" i="1" s="1"/>
  <c r="P30" i="1" l="1"/>
  <c r="P31" i="1" s="1"/>
  <c r="P28" i="1"/>
  <c r="G27" i="1"/>
  <c r="G33" i="1"/>
  <c r="P46" i="1"/>
  <c r="P43" i="1" l="1"/>
  <c r="P33" i="1"/>
  <c r="U33" i="1" s="1"/>
  <c r="P42" i="1"/>
  <c r="G32" i="1"/>
  <c r="U32" i="1" l="1"/>
  <c r="G41" i="1"/>
  <c r="G40" i="1"/>
  <c r="G34" i="1"/>
  <c r="G45" i="1" s="1"/>
  <c r="P29" i="1"/>
  <c r="G39" i="1" s="1"/>
  <c r="G43" i="1" l="1"/>
  <c r="G42" i="1"/>
</calcChain>
</file>

<file path=xl/sharedStrings.xml><?xml version="1.0" encoding="utf-8"?>
<sst xmlns="http://schemas.openxmlformats.org/spreadsheetml/2006/main" count="221" uniqueCount="168">
  <si>
    <t>OBLICZENIA DLA TRANSFORMATORÓW</t>
  </si>
  <si>
    <t>II. PARAMETRY FIZYCZNE RDZENIA I UZWOJEŃ</t>
  </si>
  <si>
    <t>powierzchnia skuteczna</t>
  </si>
  <si>
    <r>
      <t>A</t>
    </r>
    <r>
      <rPr>
        <sz val="9"/>
        <color theme="1"/>
        <rFont val="Calibri"/>
        <family val="2"/>
        <charset val="238"/>
        <scheme val="minor"/>
      </rPr>
      <t>e</t>
    </r>
  </si>
  <si>
    <t>[cm2]</t>
  </si>
  <si>
    <t>I. PARAMETRY ELEKTRYCZNE</t>
  </si>
  <si>
    <t>objętość skuteczna</t>
  </si>
  <si>
    <r>
      <t>V</t>
    </r>
    <r>
      <rPr>
        <sz val="9"/>
        <color theme="1"/>
        <rFont val="Calibri"/>
        <family val="2"/>
        <charset val="238"/>
        <scheme val="minor"/>
      </rPr>
      <t>e</t>
    </r>
  </si>
  <si>
    <t>[cm3]</t>
  </si>
  <si>
    <t>długość ścieżki magnetycznej</t>
  </si>
  <si>
    <r>
      <t>l</t>
    </r>
    <r>
      <rPr>
        <sz val="9"/>
        <color theme="1"/>
        <rFont val="Calibri"/>
        <family val="2"/>
        <charset val="238"/>
        <scheme val="minor"/>
      </rPr>
      <t>e</t>
    </r>
  </si>
  <si>
    <t>[cm]</t>
  </si>
  <si>
    <t>min. napięcie pierwotne</t>
  </si>
  <si>
    <r>
      <t>V</t>
    </r>
    <r>
      <rPr>
        <sz val="9"/>
        <color theme="1"/>
        <rFont val="Calibri"/>
        <family val="2"/>
        <charset val="238"/>
        <scheme val="minor"/>
      </rPr>
      <t>INmin</t>
    </r>
  </si>
  <si>
    <t>[V]</t>
  </si>
  <si>
    <t>powierzchnia okna</t>
  </si>
  <si>
    <r>
      <t>A</t>
    </r>
    <r>
      <rPr>
        <sz val="9"/>
        <color theme="1"/>
        <rFont val="Calibri"/>
        <family val="2"/>
        <charset val="238"/>
        <scheme val="minor"/>
      </rPr>
      <t>w</t>
    </r>
  </si>
  <si>
    <t>maks. napięcie pierwotne</t>
  </si>
  <si>
    <r>
      <t>V</t>
    </r>
    <r>
      <rPr>
        <sz val="9"/>
        <color theme="1"/>
        <rFont val="Calibri"/>
        <family val="2"/>
        <charset val="238"/>
        <scheme val="minor"/>
      </rPr>
      <t>INmax</t>
    </r>
  </si>
  <si>
    <t>indukcja magnetyczna</t>
  </si>
  <si>
    <t>B</t>
  </si>
  <si>
    <t>[T]</t>
  </si>
  <si>
    <t>napięcie wtórne</t>
  </si>
  <si>
    <r>
      <t>V</t>
    </r>
    <r>
      <rPr>
        <sz val="9"/>
        <color theme="1"/>
        <rFont val="Calibri"/>
        <family val="2"/>
        <charset val="238"/>
        <scheme val="minor"/>
      </rPr>
      <t>OUT</t>
    </r>
  </si>
  <si>
    <t>względne straty rdzenia</t>
  </si>
  <si>
    <t>α</t>
  </si>
  <si>
    <t>[kW/m3]</t>
  </si>
  <si>
    <t>gdzie:</t>
  </si>
  <si>
    <t>moc wtórna</t>
  </si>
  <si>
    <r>
      <t>P</t>
    </r>
    <r>
      <rPr>
        <sz val="9"/>
        <color theme="1"/>
        <rFont val="Calibri"/>
        <family val="2"/>
        <charset val="238"/>
        <scheme val="minor"/>
      </rPr>
      <t>OUT</t>
    </r>
  </si>
  <si>
    <t>[W]</t>
  </si>
  <si>
    <t>dłuższy wymiar płytki</t>
  </si>
  <si>
    <r>
      <t>c</t>
    </r>
    <r>
      <rPr>
        <sz val="9"/>
        <color theme="1"/>
        <rFont val="Calibri"/>
        <family val="2"/>
        <charset val="238"/>
        <scheme val="minor"/>
      </rPr>
      <t>B</t>
    </r>
  </si>
  <si>
    <t>wymiar dłuższy - nieograniczony rdzeniem,</t>
  </si>
  <si>
    <t>częstotliwość przełączania</t>
  </si>
  <si>
    <r>
      <t>f</t>
    </r>
    <r>
      <rPr>
        <sz val="9"/>
        <color theme="1"/>
        <rFont val="Calibri"/>
        <family val="2"/>
        <charset val="238"/>
        <scheme val="minor"/>
      </rPr>
      <t>S</t>
    </r>
  </si>
  <si>
    <t>[Hz]</t>
  </si>
  <si>
    <t>krótszy wymiar płytki</t>
  </si>
  <si>
    <r>
      <t>b</t>
    </r>
    <r>
      <rPr>
        <sz val="9"/>
        <color theme="1"/>
        <rFont val="Aptos Narrow"/>
        <family val="2"/>
      </rPr>
      <t>B</t>
    </r>
  </si>
  <si>
    <t>wymiar krótszy - ograniczony rdzeniem.</t>
  </si>
  <si>
    <t>częstotliwość transformatora</t>
  </si>
  <si>
    <r>
      <t>f</t>
    </r>
    <r>
      <rPr>
        <sz val="9"/>
        <color theme="1"/>
        <rFont val="Calibri"/>
        <family val="2"/>
        <charset val="238"/>
        <scheme val="minor"/>
      </rPr>
      <t>T</t>
    </r>
  </si>
  <si>
    <t>dłuższy wymiar przerwy na rdzeń</t>
  </si>
  <si>
    <t>c*</t>
  </si>
  <si>
    <t>sprawność</t>
  </si>
  <si>
    <t>η</t>
  </si>
  <si>
    <t>[%]</t>
  </si>
  <si>
    <t>krótszy wymiar przerwy na rdzeń</t>
  </si>
  <si>
    <t>b*</t>
  </si>
  <si>
    <t>maks. wzrost temperatury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</si>
  <si>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  <scheme val="minor"/>
      </rPr>
      <t>T</t>
    </r>
    <r>
      <rPr>
        <sz val="9"/>
        <color theme="1"/>
        <rFont val="Calibri"/>
        <family val="2"/>
        <charset val="238"/>
        <scheme val="minor"/>
      </rPr>
      <t>lim</t>
    </r>
  </si>
  <si>
    <t>grubość folii po str. pierw.</t>
  </si>
  <si>
    <r>
      <rPr>
        <sz val="11"/>
        <color theme="1"/>
        <rFont val="Aptos Narrow"/>
        <family val="2"/>
      </rPr>
      <t>Q</t>
    </r>
    <r>
      <rPr>
        <sz val="9"/>
        <color theme="1"/>
        <rFont val="Calibri"/>
        <family val="2"/>
        <charset val="238"/>
        <scheme val="minor"/>
      </rPr>
      <t>P</t>
    </r>
  </si>
  <si>
    <r>
      <t>[</t>
    </r>
    <r>
      <rPr>
        <sz val="11"/>
        <color theme="1"/>
        <rFont val="Aptos Narrow"/>
        <family val="2"/>
      </rPr>
      <t>μm]</t>
    </r>
  </si>
  <si>
    <t>cykl pracy</t>
  </si>
  <si>
    <t>d</t>
  </si>
  <si>
    <t>grubość folii po str. wt.</t>
  </si>
  <si>
    <r>
      <rPr>
        <sz val="11"/>
        <color theme="1"/>
        <rFont val="Aptos Narrow"/>
        <family val="2"/>
      </rPr>
      <t>Q</t>
    </r>
    <r>
      <rPr>
        <sz val="9"/>
        <color theme="1"/>
        <rFont val="Calibri"/>
        <family val="2"/>
        <charset val="238"/>
        <scheme val="minor"/>
      </rPr>
      <t>S</t>
    </r>
  </si>
  <si>
    <t>maks. cykl pracy</t>
  </si>
  <si>
    <r>
      <t>d</t>
    </r>
    <r>
      <rPr>
        <sz val="9"/>
        <color theme="1"/>
        <rFont val="Aptos Narrow"/>
        <family val="2"/>
      </rPr>
      <t>lim</t>
    </r>
  </si>
  <si>
    <t>rezystywność folii po str. pierw.</t>
  </si>
  <si>
    <r>
      <rPr>
        <sz val="11"/>
        <color theme="1"/>
        <rFont val="Aptos Narrow"/>
        <family val="2"/>
      </rPr>
      <t>ρ</t>
    </r>
    <r>
      <rPr>
        <sz val="9"/>
        <color theme="1"/>
        <rFont val="Calibri"/>
        <family val="2"/>
        <charset val="238"/>
        <scheme val="minor"/>
      </rPr>
      <t>P</t>
    </r>
  </si>
  <si>
    <t>[mΩ/cm]</t>
  </si>
  <si>
    <t>spadek napięcia na diodzie prostownika</t>
  </si>
  <si>
    <r>
      <t>V</t>
    </r>
    <r>
      <rPr>
        <sz val="9"/>
        <color theme="1"/>
        <rFont val="Calibri"/>
        <family val="2"/>
        <charset val="238"/>
        <scheme val="minor"/>
      </rPr>
      <t>D</t>
    </r>
  </si>
  <si>
    <t>rezystywność folii po str. wt.</t>
  </si>
  <si>
    <r>
      <rPr>
        <sz val="11"/>
        <color theme="1"/>
        <rFont val="Aptos Narrow"/>
        <family val="2"/>
      </rPr>
      <t>ρ</t>
    </r>
    <r>
      <rPr>
        <sz val="9"/>
        <color theme="1"/>
        <rFont val="Calibri"/>
        <family val="2"/>
        <charset val="238"/>
        <scheme val="minor"/>
      </rPr>
      <t>S</t>
    </r>
  </si>
  <si>
    <t>PARAMETRY LICZONE AUTOMATYCZNIE</t>
  </si>
  <si>
    <t>szerokość zwoju po str. pierw.</t>
  </si>
  <si>
    <r>
      <t>w</t>
    </r>
    <r>
      <rPr>
        <sz val="9"/>
        <color theme="1"/>
        <rFont val="Calibri"/>
        <family val="2"/>
        <charset val="238"/>
        <scheme val="minor"/>
      </rPr>
      <t>P</t>
    </r>
  </si>
  <si>
    <t>[mm]</t>
  </si>
  <si>
    <t>szerokość zwoju po str. wt.</t>
  </si>
  <si>
    <r>
      <t>w</t>
    </r>
    <r>
      <rPr>
        <sz val="9"/>
        <color theme="1"/>
        <rFont val="Calibri"/>
        <family val="2"/>
        <charset val="238"/>
        <scheme val="minor"/>
      </rPr>
      <t>S</t>
    </r>
  </si>
  <si>
    <t>moc pierwotna</t>
  </si>
  <si>
    <r>
      <t>P</t>
    </r>
    <r>
      <rPr>
        <sz val="9"/>
        <color theme="1"/>
        <rFont val="Calibri"/>
        <family val="2"/>
        <charset val="238"/>
        <scheme val="minor"/>
      </rPr>
      <t>IN</t>
    </r>
  </si>
  <si>
    <t>PARAMETRY RDZENIA LICZONE AUTOMATYCZNIE</t>
  </si>
  <si>
    <t>prąd pierwotny</t>
  </si>
  <si>
    <r>
      <t>I</t>
    </r>
    <r>
      <rPr>
        <sz val="9"/>
        <color theme="1"/>
        <rFont val="Calibri"/>
        <family val="2"/>
        <charset val="238"/>
        <scheme val="minor"/>
      </rPr>
      <t>IN</t>
    </r>
  </si>
  <si>
    <t>[A]</t>
  </si>
  <si>
    <t>prąd wtórny</t>
  </si>
  <si>
    <r>
      <t>I</t>
    </r>
    <r>
      <rPr>
        <sz val="9"/>
        <color theme="1"/>
        <rFont val="Calibri"/>
        <family val="2"/>
        <charset val="238"/>
        <scheme val="minor"/>
      </rPr>
      <t>OUT</t>
    </r>
  </si>
  <si>
    <t>rezystancja termiczna</t>
  </si>
  <si>
    <t>cykl pracy razy min. V pierwotne</t>
  </si>
  <si>
    <r>
      <t>dV</t>
    </r>
    <r>
      <rPr>
        <sz val="9"/>
        <color theme="1"/>
        <rFont val="Aptos Narrow"/>
        <family val="2"/>
      </rPr>
      <t>INmin</t>
    </r>
  </si>
  <si>
    <t>maks. straty termiczne</t>
  </si>
  <si>
    <r>
      <t>P</t>
    </r>
    <r>
      <rPr>
        <sz val="9"/>
        <color theme="1"/>
        <rFont val="Calibri"/>
        <family val="2"/>
        <charset val="238"/>
        <scheme val="minor"/>
      </rPr>
      <t>lim</t>
    </r>
  </si>
  <si>
    <t>maks. cykl pracy razy maks. V pierwotne</t>
  </si>
  <si>
    <r>
      <t>d</t>
    </r>
    <r>
      <rPr>
        <sz val="9"/>
        <color theme="1"/>
        <rFont val="Aptos Narrow"/>
        <family val="2"/>
      </rPr>
      <t>lim</t>
    </r>
    <r>
      <rPr>
        <sz val="11"/>
        <color theme="1"/>
        <rFont val="Aptos Narrow"/>
        <family val="2"/>
      </rPr>
      <t>V</t>
    </r>
    <r>
      <rPr>
        <sz val="9"/>
        <color theme="1"/>
        <rFont val="Aptos Narrow"/>
        <family val="2"/>
      </rPr>
      <t>INmax</t>
    </r>
  </si>
  <si>
    <t>dewiacja indukcji magnetycznej</t>
  </si>
  <si>
    <t>∆B</t>
  </si>
  <si>
    <r>
      <t>spadki napięcia na wyjściu (V</t>
    </r>
    <r>
      <rPr>
        <sz val="9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scheme val="minor"/>
      </rPr>
      <t xml:space="preserve"> + V</t>
    </r>
    <r>
      <rPr>
        <sz val="9"/>
        <color theme="1"/>
        <rFont val="Calibri"/>
        <family val="2"/>
        <charset val="238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</si>
  <si>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r>
      <t>V</t>
    </r>
    <r>
      <rPr>
        <sz val="9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scheme val="minor"/>
      </rPr>
      <t>'</t>
    </r>
  </si>
  <si>
    <t>maks. straty uzwojeń</t>
  </si>
  <si>
    <r>
      <t>P</t>
    </r>
    <r>
      <rPr>
        <sz val="9"/>
        <color theme="1"/>
        <rFont val="Calibri"/>
        <family val="2"/>
        <charset val="238"/>
        <scheme val="minor"/>
      </rPr>
      <t>Wlim</t>
    </r>
  </si>
  <si>
    <t>przekładnia</t>
  </si>
  <si>
    <t>n</t>
  </si>
  <si>
    <t>[-]</t>
  </si>
  <si>
    <t>dewiacja ind. magn. dla dwóch zwojów</t>
  </si>
  <si>
    <t>∆B(2 zw.)</t>
  </si>
  <si>
    <t>maks. straty rdzenia</t>
  </si>
  <si>
    <r>
      <t>P</t>
    </r>
    <r>
      <rPr>
        <sz val="9"/>
        <color theme="1"/>
        <rFont val="Calibri"/>
        <family val="2"/>
        <charset val="238"/>
        <scheme val="minor"/>
      </rPr>
      <t>Clim</t>
    </r>
  </si>
  <si>
    <t>III. OCENA STRAT</t>
  </si>
  <si>
    <t>jednostkowe maks. straty rdzenia</t>
  </si>
  <si>
    <r>
      <t>P</t>
    </r>
    <r>
      <rPr>
        <sz val="9"/>
        <color theme="1"/>
        <rFont val="Calibri"/>
        <family val="2"/>
        <charset val="238"/>
        <scheme val="minor"/>
      </rPr>
      <t>clim</t>
    </r>
    <r>
      <rPr>
        <sz val="11"/>
        <color theme="1"/>
        <rFont val="Calibri"/>
        <family val="2"/>
        <charset val="238"/>
        <scheme val="minor"/>
      </rPr>
      <t>/V</t>
    </r>
    <r>
      <rPr>
        <sz val="9"/>
        <color theme="1"/>
        <rFont val="Calibri"/>
        <family val="2"/>
        <charset val="238"/>
        <scheme val="minor"/>
      </rPr>
      <t>e</t>
    </r>
  </si>
  <si>
    <t>[W/cm3]</t>
  </si>
  <si>
    <t>całkowite:</t>
  </si>
  <si>
    <t>liczba zwojów wtórnych (Faraday)</t>
  </si>
  <si>
    <r>
      <t>N</t>
    </r>
    <r>
      <rPr>
        <b/>
        <sz val="9"/>
        <color theme="1"/>
        <rFont val="Calibri"/>
        <family val="2"/>
        <charset val="238"/>
        <scheme val="minor"/>
      </rPr>
      <t>S1</t>
    </r>
  </si>
  <si>
    <t>wtórne</t>
  </si>
  <si>
    <t>obliczone straty rdzenia</t>
  </si>
  <si>
    <r>
      <t>P</t>
    </r>
    <r>
      <rPr>
        <sz val="9"/>
        <color theme="1"/>
        <rFont val="Calibri"/>
        <family val="2"/>
        <charset val="238"/>
        <scheme val="minor"/>
      </rPr>
      <t>C</t>
    </r>
  </si>
  <si>
    <t>liczba zwojów pierwotnych (Faraday)</t>
  </si>
  <si>
    <r>
      <t>N</t>
    </r>
    <r>
      <rPr>
        <b/>
        <sz val="9"/>
        <color theme="1"/>
        <rFont val="Calibri"/>
        <family val="2"/>
        <charset val="238"/>
        <scheme val="minor"/>
      </rPr>
      <t>P1</t>
    </r>
  </si>
  <si>
    <t>pierwotne</t>
  </si>
  <si>
    <t>obliczone straty uzwojenia pierwotnego</t>
  </si>
  <si>
    <r>
      <t>P</t>
    </r>
    <r>
      <rPr>
        <sz val="9"/>
        <color theme="1"/>
        <rFont val="Calibri"/>
        <family val="2"/>
        <charset val="238"/>
        <scheme val="minor"/>
      </rPr>
      <t>P</t>
    </r>
  </si>
  <si>
    <t>PARAMETRY PŁYTKI LICZONE AUTOMATYCZNIE</t>
  </si>
  <si>
    <t>obliczone straty uzwojenia wtórnego</t>
  </si>
  <si>
    <r>
      <t>P</t>
    </r>
    <r>
      <rPr>
        <sz val="9"/>
        <color theme="1"/>
        <rFont val="Calibri"/>
        <family val="2"/>
        <charset val="238"/>
        <scheme val="minor"/>
      </rPr>
      <t>S</t>
    </r>
  </si>
  <si>
    <t>suma strat</t>
  </si>
  <si>
    <t>P</t>
  </si>
  <si>
    <t>wymiar zagięcia</t>
  </si>
  <si>
    <t>a</t>
  </si>
  <si>
    <t>c</t>
  </si>
  <si>
    <t>b</t>
  </si>
  <si>
    <t>IV. TEST</t>
  </si>
  <si>
    <t>PARAMETRY UZWOJEŃ LICZONE AUTOMATYCZNIE</t>
  </si>
  <si>
    <t>maks. dewiacja indukcji magnetycznej</t>
  </si>
  <si>
    <r>
      <t>∆B</t>
    </r>
    <r>
      <rPr>
        <sz val="9"/>
        <color theme="1"/>
        <rFont val="Calibri"/>
        <family val="2"/>
        <charset val="238"/>
        <scheme val="minor"/>
      </rPr>
      <t>lim</t>
    </r>
  </si>
  <si>
    <t>średnia długość zwoju</t>
  </si>
  <si>
    <t>MLT</t>
  </si>
  <si>
    <t>dłuższy wymiar uzwojenia po str. pierw.</t>
  </si>
  <si>
    <r>
      <t>c</t>
    </r>
    <r>
      <rPr>
        <sz val="9"/>
        <color theme="1"/>
        <rFont val="Calibri"/>
        <family val="2"/>
        <charset val="238"/>
        <scheme val="minor"/>
      </rPr>
      <t>Pmin</t>
    </r>
  </si>
  <si>
    <t>prąd składowej stałej uzw. pierw.</t>
  </si>
  <si>
    <r>
      <t>I</t>
    </r>
    <r>
      <rPr>
        <sz val="9"/>
        <color theme="1"/>
        <rFont val="Calibri"/>
        <family val="2"/>
        <charset val="238"/>
        <scheme val="minor"/>
      </rPr>
      <t>PDC</t>
    </r>
  </si>
  <si>
    <t>krótszy wymiar uzwojenia po str. pierw.</t>
  </si>
  <si>
    <r>
      <t>b</t>
    </r>
    <r>
      <rPr>
        <sz val="9"/>
        <color theme="1"/>
        <rFont val="Calibri"/>
        <family val="2"/>
        <charset val="238"/>
        <scheme val="minor"/>
      </rPr>
      <t>Pmin</t>
    </r>
  </si>
  <si>
    <t>prąd składowej zmiennej uzw. pierw.</t>
  </si>
  <si>
    <r>
      <t>I</t>
    </r>
    <r>
      <rPr>
        <sz val="9"/>
        <color theme="1"/>
        <rFont val="Calibri"/>
        <family val="2"/>
        <charset val="238"/>
        <scheme val="minor"/>
      </rPr>
      <t>PAC</t>
    </r>
  </si>
  <si>
    <t>dłuższy wymiar uzwojenia po str. wt.</t>
  </si>
  <si>
    <t>prąd składowej stałej uzw. wt.</t>
  </si>
  <si>
    <r>
      <t>I</t>
    </r>
    <r>
      <rPr>
        <sz val="9"/>
        <color theme="1"/>
        <rFont val="Calibri"/>
        <family val="2"/>
        <charset val="238"/>
        <scheme val="minor"/>
      </rPr>
      <t>SDC</t>
    </r>
  </si>
  <si>
    <t>krótszy wymiar uzwojenia po str. wt.</t>
  </si>
  <si>
    <t>prąd składowej zmiennej uzw. wt.</t>
  </si>
  <si>
    <r>
      <t>I</t>
    </r>
    <r>
      <rPr>
        <sz val="9"/>
        <color theme="1"/>
        <rFont val="Calibri"/>
        <family val="2"/>
        <charset val="238"/>
        <scheme val="minor"/>
      </rPr>
      <t>SAC</t>
    </r>
  </si>
  <si>
    <t>maks. straty</t>
  </si>
  <si>
    <t>rezystancja uzw. pierw.</t>
  </si>
  <si>
    <r>
      <t>R</t>
    </r>
    <r>
      <rPr>
        <sz val="9"/>
        <color theme="1"/>
        <rFont val="Calibri"/>
        <family val="2"/>
        <charset val="238"/>
        <scheme val="minor"/>
      </rPr>
      <t>P</t>
    </r>
  </si>
  <si>
    <t>[Ω]</t>
  </si>
  <si>
    <t>rezystancja uzw. wt.</t>
  </si>
  <si>
    <r>
      <t>R</t>
    </r>
    <r>
      <rPr>
        <sz val="9"/>
        <color theme="1"/>
        <rFont val="Calibri"/>
        <family val="2"/>
        <charset val="238"/>
        <scheme val="minor"/>
      </rPr>
      <t>S</t>
    </r>
  </si>
  <si>
    <t>odległość między zwojami po str. pierw.</t>
  </si>
  <si>
    <t>wP*</t>
  </si>
  <si>
    <t>odległość między zwojami po str. wt.</t>
  </si>
  <si>
    <t>wS*</t>
  </si>
  <si>
    <t>https://www.tme.eu/pl/details/b66283g0000x187/rdzenie-ferrytowe/epcos-tdk/</t>
  </si>
  <si>
    <t>N87</t>
  </si>
  <si>
    <t>Wysokość okna = stosu płytek 4 mm</t>
  </si>
  <si>
    <t>dwa okna</t>
  </si>
  <si>
    <t>Znaleziony rdzeń:</t>
  </si>
  <si>
    <t>otworki M3</t>
  </si>
  <si>
    <t>na płytce matce i płytkach córkach</t>
  </si>
  <si>
    <t>kondki na 200-250 V</t>
  </si>
  <si>
    <t>dług. robocza dłuższego wymiaru płytki/2</t>
  </si>
  <si>
    <t>dług. robocza krótszego wymiaru płytki/2</t>
  </si>
  <si>
    <t>[K/W]</t>
  </si>
  <si>
    <r>
      <t>R</t>
    </r>
    <r>
      <rPr>
        <sz val="9"/>
        <color theme="1"/>
        <rFont val="Calibri"/>
        <family val="2"/>
        <charset val="238"/>
        <scheme val="minor"/>
      </rPr>
      <t>th</t>
    </r>
  </si>
  <si>
    <r>
      <t>P</t>
    </r>
    <r>
      <rPr>
        <sz val="9"/>
        <color theme="1"/>
        <rFont val="Calibri"/>
        <family val="2"/>
        <charset val="238"/>
        <scheme val="minor"/>
      </rPr>
      <t>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</si>
</sst>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E+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38"/>
      <scheme val="minor"/>
    </font>
    <font>
      <sz val="11"/>
      <color theme="1"/>
      <name val="Aptos Narrow"/>
      <family val="2"/>
    </font>
    <font>
      <sz val="9"/>
      <color theme="1"/>
      <name val="Aptos Narrow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2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1" fontId="3" fillId="3" borderId="4" xfId="0" applyNumberFormat="1" applyFont="1" applyFill="1" applyBorder="1" applyAlignment="1">
      <alignment horizontal="center"/>
    </xf>
    <xf numFmtId="0" fontId="10" fillId="0" borderId="0" xfId="3"/>
    <xf numFmtId="0" fontId="0" fillId="0" borderId="4" xfId="0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2" fontId="2" fillId="2" borderId="4" xfId="2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6" fontId="2" fillId="2" borderId="4" xfId="2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2" fillId="2" borderId="10" xfId="2" applyNumberFormat="1" applyBorder="1" applyAlignment="1">
      <alignment horizontal="center" vertical="center"/>
    </xf>
    <xf numFmtId="2" fontId="2" fillId="2" borderId="12" xfId="2" applyNumberForma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165" fontId="0" fillId="0" borderId="10" xfId="1" applyNumberFormat="1" applyFont="1" applyBorder="1" applyAlignment="1">
      <alignment horizontal="center" vertical="center"/>
    </xf>
    <xf numFmtId="165" fontId="0" fillId="0" borderId="12" xfId="1" applyNumberFormat="1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2" fontId="3" fillId="3" borderId="10" xfId="1" applyNumberFormat="1" applyFont="1" applyFill="1" applyBorder="1" applyAlignment="1">
      <alignment horizontal="center" vertical="center"/>
    </xf>
    <xf numFmtId="2" fontId="3" fillId="3" borderId="12" xfId="1" applyNumberFormat="1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10" xfId="1" applyNumberFormat="1" applyFont="1" applyBorder="1" applyAlignment="1">
      <alignment horizontal="center" vertical="center"/>
    </xf>
    <xf numFmtId="0" fontId="0" fillId="0" borderId="12" xfId="1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2" fillId="2" borderId="10" xfId="1" applyFont="1" applyFill="1" applyBorder="1" applyAlignment="1">
      <alignment horizontal="center" vertical="center"/>
    </xf>
    <xf numFmtId="9" fontId="2" fillId="2" borderId="12" xfId="1" applyFont="1" applyFill="1" applyBorder="1" applyAlignment="1">
      <alignment horizontal="center" vertical="center"/>
    </xf>
  </cellXfs>
  <cellStyles count="4">
    <cellStyle name="Hiperlidhje" xfId="3" builtinId="8"/>
    <cellStyle name="I pavlerë" xfId="2" builtinId="27"/>
    <cellStyle name="Normal" xfId="0" builtinId="0"/>
    <cellStyle name="Përqindje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37353</xdr:colOff>
      <xdr:row>9</xdr:row>
      <xdr:rowOff>82178</xdr:rowOff>
    </xdr:from>
    <xdr:to>
      <xdr:col>29</xdr:col>
      <xdr:colOff>53884</xdr:colOff>
      <xdr:row>25</xdr:row>
      <xdr:rowOff>65895</xdr:rowOff>
    </xdr:to>
    <xdr:pic>
      <xdr:nvPicPr>
        <xdr:cNvPr id="3" name="Imazhi 2">
          <a:extLst>
            <a:ext uri="{FF2B5EF4-FFF2-40B4-BE49-F238E27FC236}">
              <a16:creationId xmlns:a16="http://schemas.microsoft.com/office/drawing/2014/main" id="{1CB70A86-26FC-4DC6-74DA-5982F9CED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16941" y="1763060"/>
          <a:ext cx="1854295" cy="2971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me.eu/pl/details/b66283g0000x187/rdzenie-ferrytowe/epcos-td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E825-E1D6-42DA-ABEF-76A378870DA1}">
  <dimension ref="B3:V47"/>
  <sheetViews>
    <sheetView tabSelected="1" zoomScale="85" zoomScaleNormal="85" workbookViewId="0">
      <selection activeCell="U28" sqref="U28"/>
    </sheetView>
  </sheetViews>
  <sheetFormatPr defaultRowHeight="14.5" x14ac:dyDescent="0.35"/>
  <cols>
    <col min="10" max="10" width="9.90625" customWidth="1"/>
    <col min="20" max="20" width="9.54296875" customWidth="1"/>
  </cols>
  <sheetData>
    <row r="3" spans="2:22" x14ac:dyDescent="0.35">
      <c r="B3" s="35" t="s">
        <v>0</v>
      </c>
      <c r="C3" s="36"/>
      <c r="D3" s="36"/>
      <c r="E3" s="36"/>
      <c r="F3" s="36"/>
      <c r="G3" s="36"/>
      <c r="H3" s="36"/>
      <c r="I3" s="37"/>
      <c r="K3" s="8" t="s">
        <v>1</v>
      </c>
      <c r="L3" s="8"/>
      <c r="M3" s="8"/>
      <c r="N3" s="8"/>
      <c r="O3" s="8"/>
      <c r="P3" s="8"/>
      <c r="Q3" s="8"/>
      <c r="R3" s="8"/>
      <c r="T3" t="s">
        <v>159</v>
      </c>
    </row>
    <row r="4" spans="2:22" x14ac:dyDescent="0.35">
      <c r="B4" s="38"/>
      <c r="C4" s="39"/>
      <c r="D4" s="39"/>
      <c r="E4" s="39"/>
      <c r="F4" s="39"/>
      <c r="G4" s="39"/>
      <c r="H4" s="39"/>
      <c r="I4" s="40"/>
      <c r="K4" s="8"/>
      <c r="L4" s="8"/>
      <c r="M4" s="8"/>
      <c r="N4" s="8"/>
      <c r="O4" s="8"/>
      <c r="P4" s="8"/>
      <c r="Q4" s="8"/>
      <c r="R4" s="8"/>
      <c r="T4" s="7" t="s">
        <v>155</v>
      </c>
    </row>
    <row r="5" spans="2:22" x14ac:dyDescent="0.35">
      <c r="B5" s="41"/>
      <c r="C5" s="42"/>
      <c r="D5" s="42"/>
      <c r="E5" s="42"/>
      <c r="F5" s="42"/>
      <c r="G5" s="42"/>
      <c r="H5" s="42"/>
      <c r="I5" s="43"/>
      <c r="K5" s="8" t="s">
        <v>2</v>
      </c>
      <c r="L5" s="8"/>
      <c r="M5" s="8"/>
      <c r="N5" s="8"/>
      <c r="O5" s="1" t="s">
        <v>3</v>
      </c>
      <c r="P5" s="8">
        <v>0.79</v>
      </c>
      <c r="Q5" s="8"/>
      <c r="R5" s="1" t="s">
        <v>4</v>
      </c>
    </row>
    <row r="6" spans="2:22" x14ac:dyDescent="0.35">
      <c r="B6" s="8" t="s">
        <v>5</v>
      </c>
      <c r="C6" s="8"/>
      <c r="D6" s="8"/>
      <c r="E6" s="8"/>
      <c r="F6" s="8"/>
      <c r="G6" s="8"/>
      <c r="H6" s="8"/>
      <c r="I6" s="8"/>
      <c r="K6" s="8" t="s">
        <v>6</v>
      </c>
      <c r="L6" s="8"/>
      <c r="M6" s="8"/>
      <c r="N6" s="8"/>
      <c r="O6" s="1" t="s">
        <v>7</v>
      </c>
      <c r="P6" s="8">
        <v>1.6040000000000001</v>
      </c>
      <c r="Q6" s="8"/>
      <c r="R6" s="1" t="s">
        <v>8</v>
      </c>
    </row>
    <row r="7" spans="2:22" x14ac:dyDescent="0.35">
      <c r="B7" s="8"/>
      <c r="C7" s="8"/>
      <c r="D7" s="8"/>
      <c r="E7" s="8"/>
      <c r="F7" s="8"/>
      <c r="G7" s="8"/>
      <c r="H7" s="8"/>
      <c r="I7" s="8"/>
      <c r="K7" s="8" t="s">
        <v>9</v>
      </c>
      <c r="L7" s="8"/>
      <c r="M7" s="8"/>
      <c r="N7" s="8"/>
      <c r="O7" s="1" t="s">
        <v>10</v>
      </c>
      <c r="P7" s="8">
        <v>4.0599999999999996</v>
      </c>
      <c r="Q7" s="8"/>
      <c r="R7" s="1" t="s">
        <v>11</v>
      </c>
    </row>
    <row r="8" spans="2:22" x14ac:dyDescent="0.35">
      <c r="B8" s="8" t="s">
        <v>12</v>
      </c>
      <c r="C8" s="8"/>
      <c r="D8" s="8"/>
      <c r="E8" s="8"/>
      <c r="F8" s="1" t="s">
        <v>13</v>
      </c>
      <c r="G8" s="8">
        <v>20.440000000000001</v>
      </c>
      <c r="H8" s="8"/>
      <c r="I8" s="1" t="s">
        <v>14</v>
      </c>
      <c r="K8" s="8" t="s">
        <v>15</v>
      </c>
      <c r="L8" s="8"/>
      <c r="M8" s="8"/>
      <c r="N8" s="8"/>
      <c r="O8" s="1" t="s">
        <v>16</v>
      </c>
      <c r="P8" s="8">
        <v>0.4</v>
      </c>
      <c r="Q8" s="8"/>
      <c r="R8" s="1" t="s">
        <v>4</v>
      </c>
      <c r="S8" t="s">
        <v>158</v>
      </c>
    </row>
    <row r="9" spans="2:22" x14ac:dyDescent="0.35">
      <c r="B9" s="8" t="s">
        <v>17</v>
      </c>
      <c r="C9" s="8"/>
      <c r="D9" s="8"/>
      <c r="E9" s="8"/>
      <c r="F9" s="1" t="s">
        <v>18</v>
      </c>
      <c r="G9" s="8">
        <v>20.440000000000001</v>
      </c>
      <c r="H9" s="8"/>
      <c r="I9" s="1" t="s">
        <v>14</v>
      </c>
      <c r="K9" s="8" t="s">
        <v>19</v>
      </c>
      <c r="L9" s="8"/>
      <c r="M9" s="8"/>
      <c r="N9" s="8"/>
      <c r="O9" s="1" t="s">
        <v>20</v>
      </c>
      <c r="P9" s="8">
        <v>0.49</v>
      </c>
      <c r="Q9" s="8"/>
      <c r="R9" s="1" t="s">
        <v>21</v>
      </c>
      <c r="S9" t="s">
        <v>156</v>
      </c>
    </row>
    <row r="10" spans="2:22" x14ac:dyDescent="0.35">
      <c r="B10" s="8" t="s">
        <v>22</v>
      </c>
      <c r="C10" s="8"/>
      <c r="D10" s="8"/>
      <c r="E10" s="8"/>
      <c r="F10" s="1" t="s">
        <v>23</v>
      </c>
      <c r="G10" s="8">
        <v>120</v>
      </c>
      <c r="H10" s="8"/>
      <c r="I10" s="1" t="s">
        <v>14</v>
      </c>
      <c r="K10" s="8" t="s">
        <v>24</v>
      </c>
      <c r="L10" s="8"/>
      <c r="M10" s="8"/>
      <c r="N10" s="8"/>
      <c r="O10" s="2" t="s">
        <v>25</v>
      </c>
      <c r="P10" s="8">
        <v>382.5</v>
      </c>
      <c r="Q10" s="8"/>
      <c r="R10" s="1" t="s">
        <v>26</v>
      </c>
      <c r="V10" t="s">
        <v>27</v>
      </c>
    </row>
    <row r="11" spans="2:22" x14ac:dyDescent="0.35">
      <c r="B11" s="8" t="s">
        <v>28</v>
      </c>
      <c r="C11" s="8"/>
      <c r="D11" s="8"/>
      <c r="E11" s="8"/>
      <c r="F11" s="1" t="s">
        <v>29</v>
      </c>
      <c r="G11" s="8">
        <v>100</v>
      </c>
      <c r="H11" s="8"/>
      <c r="I11" s="1" t="s">
        <v>30</v>
      </c>
      <c r="K11" s="8" t="s">
        <v>31</v>
      </c>
      <c r="L11" s="8"/>
      <c r="M11" s="8"/>
      <c r="N11" s="8"/>
      <c r="O11" s="1" t="s">
        <v>32</v>
      </c>
      <c r="P11" s="8">
        <v>3</v>
      </c>
      <c r="Q11" s="8"/>
      <c r="R11" s="1" t="s">
        <v>11</v>
      </c>
      <c r="V11" t="s">
        <v>33</v>
      </c>
    </row>
    <row r="12" spans="2:22" x14ac:dyDescent="0.35">
      <c r="B12" s="8" t="s">
        <v>34</v>
      </c>
      <c r="C12" s="8"/>
      <c r="D12" s="8"/>
      <c r="E12" s="8"/>
      <c r="F12" s="1" t="s">
        <v>35</v>
      </c>
      <c r="G12" s="8">
        <v>846535</v>
      </c>
      <c r="H12" s="8"/>
      <c r="I12" s="1" t="s">
        <v>36</v>
      </c>
      <c r="K12" s="8" t="s">
        <v>37</v>
      </c>
      <c r="L12" s="8"/>
      <c r="M12" s="8"/>
      <c r="N12" s="8"/>
      <c r="O12" s="2" t="s">
        <v>38</v>
      </c>
      <c r="P12" s="8">
        <v>1.4</v>
      </c>
      <c r="Q12" s="8"/>
      <c r="R12" s="1" t="s">
        <v>11</v>
      </c>
      <c r="V12" t="s">
        <v>39</v>
      </c>
    </row>
    <row r="13" spans="2:22" x14ac:dyDescent="0.35">
      <c r="B13" s="13" t="s">
        <v>40</v>
      </c>
      <c r="C13" s="14"/>
      <c r="D13" s="14"/>
      <c r="E13" s="15"/>
      <c r="F13" s="1" t="s">
        <v>41</v>
      </c>
      <c r="G13" s="8">
        <v>846535</v>
      </c>
      <c r="H13" s="8"/>
      <c r="I13" s="1" t="s">
        <v>36</v>
      </c>
      <c r="K13" s="8" t="s">
        <v>42</v>
      </c>
      <c r="L13" s="8"/>
      <c r="M13" s="8"/>
      <c r="N13" s="8"/>
      <c r="O13" s="1" t="s">
        <v>43</v>
      </c>
      <c r="P13" s="8">
        <v>1.04</v>
      </c>
      <c r="Q13" s="8"/>
      <c r="R13" s="1" t="s">
        <v>11</v>
      </c>
    </row>
    <row r="14" spans="2:22" x14ac:dyDescent="0.35">
      <c r="B14" s="13" t="s">
        <v>44</v>
      </c>
      <c r="C14" s="14"/>
      <c r="D14" s="14"/>
      <c r="E14" s="15"/>
      <c r="F14" s="2" t="s">
        <v>45</v>
      </c>
      <c r="G14" s="33">
        <v>0.9</v>
      </c>
      <c r="H14" s="34"/>
      <c r="I14" s="1" t="s">
        <v>46</v>
      </c>
      <c r="K14" s="8" t="s">
        <v>47</v>
      </c>
      <c r="L14" s="8"/>
      <c r="M14" s="8"/>
      <c r="N14" s="8"/>
      <c r="O14" s="2" t="s">
        <v>48</v>
      </c>
      <c r="P14" s="8">
        <v>0.44</v>
      </c>
      <c r="Q14" s="8"/>
      <c r="R14" s="1" t="s">
        <v>11</v>
      </c>
      <c r="V14" t="s">
        <v>157</v>
      </c>
    </row>
    <row r="15" spans="2:22" x14ac:dyDescent="0.35">
      <c r="B15" s="13" t="s">
        <v>49</v>
      </c>
      <c r="C15" s="14"/>
      <c r="D15" s="14"/>
      <c r="E15" s="15"/>
      <c r="F15" s="1" t="s">
        <v>50</v>
      </c>
      <c r="G15" s="13">
        <v>100</v>
      </c>
      <c r="H15" s="15"/>
      <c r="I15" s="1" t="s">
        <v>165</v>
      </c>
      <c r="K15" s="8" t="s">
        <v>51</v>
      </c>
      <c r="L15" s="8"/>
      <c r="M15" s="8"/>
      <c r="N15" s="8"/>
      <c r="O15" s="3" t="s">
        <v>52</v>
      </c>
      <c r="P15" s="11">
        <v>17.5</v>
      </c>
      <c r="Q15" s="11"/>
      <c r="R15" s="1" t="s">
        <v>53</v>
      </c>
    </row>
    <row r="16" spans="2:22" x14ac:dyDescent="0.35">
      <c r="B16" s="13" t="s">
        <v>54</v>
      </c>
      <c r="C16" s="14"/>
      <c r="D16" s="14"/>
      <c r="E16" s="15"/>
      <c r="F16" s="2" t="s">
        <v>55</v>
      </c>
      <c r="G16" s="33">
        <v>0.47</v>
      </c>
      <c r="H16" s="34"/>
      <c r="I16" s="1" t="s">
        <v>46</v>
      </c>
      <c r="K16" s="8" t="s">
        <v>56</v>
      </c>
      <c r="L16" s="8"/>
      <c r="M16" s="8"/>
      <c r="N16" s="8"/>
      <c r="O16" s="3" t="s">
        <v>57</v>
      </c>
      <c r="P16" s="11">
        <v>17.5</v>
      </c>
      <c r="Q16" s="11"/>
      <c r="R16" s="1" t="s">
        <v>53</v>
      </c>
    </row>
    <row r="17" spans="2:22" x14ac:dyDescent="0.35">
      <c r="B17" s="13" t="s">
        <v>58</v>
      </c>
      <c r="C17" s="14"/>
      <c r="D17" s="14"/>
      <c r="E17" s="15"/>
      <c r="F17" s="2" t="s">
        <v>59</v>
      </c>
      <c r="G17" s="33">
        <v>0.47</v>
      </c>
      <c r="H17" s="34"/>
      <c r="I17" s="1" t="s">
        <v>46</v>
      </c>
      <c r="K17" s="8" t="s">
        <v>60</v>
      </c>
      <c r="L17" s="8"/>
      <c r="M17" s="8"/>
      <c r="N17" s="8"/>
      <c r="O17" s="3" t="s">
        <v>61</v>
      </c>
      <c r="P17" s="32">
        <v>1.7199999999999999E-8</v>
      </c>
      <c r="Q17" s="32"/>
      <c r="R17" s="1" t="s">
        <v>62</v>
      </c>
    </row>
    <row r="18" spans="2:22" x14ac:dyDescent="0.35">
      <c r="B18" s="13" t="s">
        <v>63</v>
      </c>
      <c r="C18" s="14"/>
      <c r="D18" s="14"/>
      <c r="E18" s="15"/>
      <c r="F18" s="1" t="s">
        <v>64</v>
      </c>
      <c r="G18" s="30">
        <v>1.6</v>
      </c>
      <c r="H18" s="31"/>
      <c r="I18" s="1" t="s">
        <v>14</v>
      </c>
      <c r="K18" s="8" t="s">
        <v>65</v>
      </c>
      <c r="L18" s="8"/>
      <c r="M18" s="8"/>
      <c r="N18" s="8"/>
      <c r="O18" s="3" t="s">
        <v>66</v>
      </c>
      <c r="P18" s="32">
        <v>1.7199999999999999E-8</v>
      </c>
      <c r="Q18" s="32"/>
      <c r="R18" s="1" t="s">
        <v>62</v>
      </c>
    </row>
    <row r="19" spans="2:22" x14ac:dyDescent="0.35">
      <c r="B19" s="8" t="s">
        <v>67</v>
      </c>
      <c r="C19" s="8"/>
      <c r="D19" s="8"/>
      <c r="E19" s="8"/>
      <c r="F19" s="8"/>
      <c r="G19" s="8"/>
      <c r="H19" s="8"/>
      <c r="I19" s="8"/>
      <c r="K19" s="8" t="s">
        <v>68</v>
      </c>
      <c r="L19" s="8"/>
      <c r="M19" s="8"/>
      <c r="N19" s="8"/>
      <c r="O19" s="1" t="s">
        <v>69</v>
      </c>
      <c r="P19" s="8">
        <v>1</v>
      </c>
      <c r="Q19" s="8"/>
      <c r="R19" s="1" t="s">
        <v>70</v>
      </c>
    </row>
    <row r="20" spans="2:22" x14ac:dyDescent="0.35">
      <c r="B20" s="8"/>
      <c r="C20" s="8"/>
      <c r="D20" s="8"/>
      <c r="E20" s="8"/>
      <c r="F20" s="8"/>
      <c r="G20" s="8"/>
      <c r="H20" s="8"/>
      <c r="I20" s="8"/>
      <c r="K20" s="8" t="s">
        <v>71</v>
      </c>
      <c r="L20" s="8"/>
      <c r="M20" s="8"/>
      <c r="N20" s="8"/>
      <c r="O20" s="1" t="s">
        <v>72</v>
      </c>
      <c r="P20" s="8">
        <v>0.2</v>
      </c>
      <c r="Q20" s="8"/>
      <c r="R20" s="1" t="s">
        <v>70</v>
      </c>
    </row>
    <row r="21" spans="2:22" x14ac:dyDescent="0.35">
      <c r="B21" s="8" t="s">
        <v>73</v>
      </c>
      <c r="C21" s="8"/>
      <c r="D21" s="8"/>
      <c r="E21" s="8"/>
      <c r="F21" s="1" t="s">
        <v>74</v>
      </c>
      <c r="G21" s="11">
        <f>G11/G14</f>
        <v>111.11111111111111</v>
      </c>
      <c r="H21" s="11"/>
      <c r="I21" s="1" t="s">
        <v>30</v>
      </c>
      <c r="K21" s="8" t="s">
        <v>151</v>
      </c>
      <c r="L21" s="8"/>
      <c r="M21" s="8"/>
      <c r="N21" s="8"/>
      <c r="O21" s="2" t="s">
        <v>152</v>
      </c>
      <c r="P21" s="29">
        <v>1</v>
      </c>
      <c r="Q21" s="29"/>
      <c r="R21" s="1" t="s">
        <v>70</v>
      </c>
    </row>
    <row r="22" spans="2:22" x14ac:dyDescent="0.35">
      <c r="B22" s="8" t="s">
        <v>76</v>
      </c>
      <c r="C22" s="8"/>
      <c r="D22" s="8"/>
      <c r="E22" s="8"/>
      <c r="F22" s="1" t="s">
        <v>77</v>
      </c>
      <c r="G22" s="28">
        <f>G11/G21</f>
        <v>0.9</v>
      </c>
      <c r="H22" s="28"/>
      <c r="I22" s="1" t="s">
        <v>78</v>
      </c>
      <c r="K22" s="8" t="s">
        <v>153</v>
      </c>
      <c r="L22" s="8"/>
      <c r="M22" s="8"/>
      <c r="N22" s="8"/>
      <c r="O22" s="2" t="s">
        <v>154</v>
      </c>
      <c r="P22" s="28">
        <v>0.1</v>
      </c>
      <c r="Q22" s="28"/>
      <c r="R22" s="1" t="s">
        <v>70</v>
      </c>
      <c r="V22" t="s">
        <v>160</v>
      </c>
    </row>
    <row r="23" spans="2:22" x14ac:dyDescent="0.35">
      <c r="B23" s="8" t="s">
        <v>79</v>
      </c>
      <c r="C23" s="8"/>
      <c r="D23" s="8"/>
      <c r="E23" s="8"/>
      <c r="F23" s="1" t="s">
        <v>80</v>
      </c>
      <c r="G23" s="11">
        <f>G11/G10</f>
        <v>0.83333333333333337</v>
      </c>
      <c r="H23" s="11"/>
      <c r="I23" s="1" t="s">
        <v>78</v>
      </c>
      <c r="K23" s="8" t="s">
        <v>75</v>
      </c>
      <c r="L23" s="8"/>
      <c r="M23" s="8"/>
      <c r="N23" s="8"/>
      <c r="O23" s="8"/>
      <c r="P23" s="8"/>
      <c r="Q23" s="8"/>
      <c r="R23" s="8"/>
      <c r="V23" t="s">
        <v>161</v>
      </c>
    </row>
    <row r="24" spans="2:22" x14ac:dyDescent="0.35">
      <c r="B24" s="13" t="s">
        <v>82</v>
      </c>
      <c r="C24" s="14"/>
      <c r="D24" s="14"/>
      <c r="E24" s="15"/>
      <c r="F24" s="2" t="s">
        <v>83</v>
      </c>
      <c r="G24" s="21">
        <f>G16*G8</f>
        <v>9.6067999999999998</v>
      </c>
      <c r="H24" s="22"/>
      <c r="I24" s="1" t="s">
        <v>14</v>
      </c>
      <c r="K24" s="8"/>
      <c r="L24" s="8"/>
      <c r="M24" s="8"/>
      <c r="N24" s="8"/>
      <c r="O24" s="8"/>
      <c r="P24" s="8"/>
      <c r="Q24" s="8"/>
      <c r="R24" s="8"/>
      <c r="V24" t="s">
        <v>162</v>
      </c>
    </row>
    <row r="25" spans="2:22" x14ac:dyDescent="0.35">
      <c r="B25" s="13" t="s">
        <v>86</v>
      </c>
      <c r="C25" s="14"/>
      <c r="D25" s="14"/>
      <c r="E25" s="15"/>
      <c r="F25" s="2" t="s">
        <v>87</v>
      </c>
      <c r="G25" s="21">
        <f>G17*G9</f>
        <v>9.6067999999999998</v>
      </c>
      <c r="H25" s="22"/>
      <c r="I25" s="1" t="s">
        <v>14</v>
      </c>
      <c r="K25" s="8" t="s">
        <v>81</v>
      </c>
      <c r="L25" s="8"/>
      <c r="M25" s="8"/>
      <c r="N25" s="8"/>
      <c r="O25" s="1" t="s">
        <v>166</v>
      </c>
      <c r="P25" s="11">
        <f>36/P8</f>
        <v>90</v>
      </c>
      <c r="Q25" s="11"/>
      <c r="R25" s="1" t="s">
        <v>165</v>
      </c>
    </row>
    <row r="26" spans="2:22" x14ac:dyDescent="0.35">
      <c r="B26" s="13" t="s">
        <v>90</v>
      </c>
      <c r="C26" s="14"/>
      <c r="D26" s="14"/>
      <c r="E26" s="15"/>
      <c r="F26" s="1" t="s">
        <v>91</v>
      </c>
      <c r="G26" s="21">
        <f>G10+G18</f>
        <v>121.6</v>
      </c>
      <c r="H26" s="22"/>
      <c r="I26" s="1" t="s">
        <v>14</v>
      </c>
      <c r="K26" s="8" t="s">
        <v>84</v>
      </c>
      <c r="L26" s="8"/>
      <c r="M26" s="8"/>
      <c r="N26" s="8"/>
      <c r="O26" s="1" t="s">
        <v>167</v>
      </c>
      <c r="P26" s="11">
        <f>1/(P25/G15)</f>
        <v>1.1111111111111112</v>
      </c>
      <c r="Q26" s="11"/>
      <c r="R26" s="1" t="s">
        <v>30</v>
      </c>
    </row>
    <row r="27" spans="2:22" x14ac:dyDescent="0.35">
      <c r="B27" s="23" t="s">
        <v>94</v>
      </c>
      <c r="C27" s="24"/>
      <c r="D27" s="24"/>
      <c r="E27" s="25"/>
      <c r="F27" s="4" t="s">
        <v>95</v>
      </c>
      <c r="G27" s="26">
        <f>G24/G26</f>
        <v>7.9003289473684207E-2</v>
      </c>
      <c r="H27" s="27"/>
      <c r="I27" s="4" t="s">
        <v>96</v>
      </c>
      <c r="K27" s="8" t="s">
        <v>88</v>
      </c>
      <c r="L27" s="8"/>
      <c r="M27" s="8"/>
      <c r="N27" s="8"/>
      <c r="O27" s="1" t="s">
        <v>89</v>
      </c>
      <c r="P27" s="8">
        <f>2*P9</f>
        <v>0.98</v>
      </c>
      <c r="Q27" s="8"/>
      <c r="R27" s="1" t="s">
        <v>21</v>
      </c>
    </row>
    <row r="28" spans="2:22" x14ac:dyDescent="0.35">
      <c r="K28" s="8" t="s">
        <v>92</v>
      </c>
      <c r="L28" s="8"/>
      <c r="M28" s="8"/>
      <c r="N28" s="8"/>
      <c r="O28" s="1" t="s">
        <v>93</v>
      </c>
      <c r="P28" s="11">
        <f>P26/2</f>
        <v>0.55555555555555558</v>
      </c>
      <c r="Q28" s="11"/>
      <c r="R28" s="1" t="s">
        <v>30</v>
      </c>
    </row>
    <row r="29" spans="2:22" x14ac:dyDescent="0.35">
      <c r="B29" s="8" t="s">
        <v>101</v>
      </c>
      <c r="C29" s="8"/>
      <c r="D29" s="8"/>
      <c r="E29" s="8"/>
      <c r="F29" s="8"/>
      <c r="G29" s="8"/>
      <c r="H29" s="8"/>
      <c r="I29" s="8"/>
      <c r="K29" s="8" t="s">
        <v>97</v>
      </c>
      <c r="L29" s="8"/>
      <c r="M29" s="8"/>
      <c r="N29" s="8"/>
      <c r="O29" s="1" t="s">
        <v>98</v>
      </c>
      <c r="P29" s="8">
        <f>P27*U32/2</f>
        <v>6.37</v>
      </c>
      <c r="Q29" s="8"/>
      <c r="R29" s="1" t="s">
        <v>21</v>
      </c>
    </row>
    <row r="30" spans="2:22" x14ac:dyDescent="0.35">
      <c r="B30" s="8"/>
      <c r="C30" s="8"/>
      <c r="D30" s="8"/>
      <c r="E30" s="8"/>
      <c r="F30" s="8"/>
      <c r="G30" s="8"/>
      <c r="H30" s="8"/>
      <c r="I30" s="8"/>
      <c r="K30" s="8" t="s">
        <v>99</v>
      </c>
      <c r="L30" s="8"/>
      <c r="M30" s="8"/>
      <c r="N30" s="8"/>
      <c r="O30" s="1" t="s">
        <v>100</v>
      </c>
      <c r="P30" s="11">
        <f>P26/2</f>
        <v>0.55555555555555558</v>
      </c>
      <c r="Q30" s="11"/>
      <c r="R30" s="1" t="s">
        <v>30</v>
      </c>
    </row>
    <row r="31" spans="2:22" x14ac:dyDescent="0.35">
      <c r="B31" s="8" t="s">
        <v>109</v>
      </c>
      <c r="C31" s="8"/>
      <c r="D31" s="8"/>
      <c r="E31" s="8"/>
      <c r="F31" s="1" t="s">
        <v>110</v>
      </c>
      <c r="G31" s="11">
        <f>P10*P6/1000+P26</f>
        <v>1.7246411111111113</v>
      </c>
      <c r="H31" s="11"/>
      <c r="I31" s="1" t="s">
        <v>30</v>
      </c>
      <c r="K31" s="8" t="s">
        <v>102</v>
      </c>
      <c r="L31" s="8"/>
      <c r="M31" s="8"/>
      <c r="N31" s="8"/>
      <c r="O31" s="1" t="s">
        <v>103</v>
      </c>
      <c r="P31" s="11">
        <f>P30/P6</f>
        <v>0.34635633139373789</v>
      </c>
      <c r="Q31" s="11"/>
      <c r="R31" s="1" t="s">
        <v>104</v>
      </c>
      <c r="T31" s="20" t="s">
        <v>105</v>
      </c>
      <c r="U31" s="20"/>
    </row>
    <row r="32" spans="2:22" x14ac:dyDescent="0.35">
      <c r="B32" s="8" t="s">
        <v>114</v>
      </c>
      <c r="C32" s="8"/>
      <c r="D32" s="8"/>
      <c r="E32" s="8"/>
      <c r="F32" s="1" t="s">
        <v>115</v>
      </c>
      <c r="G32" s="9">
        <f>P44*P44*P46+P45*P45*P46</f>
        <v>1.3837754920634922E-12</v>
      </c>
      <c r="H32" s="9"/>
      <c r="I32" s="1" t="s">
        <v>30</v>
      </c>
      <c r="K32" s="18" t="s">
        <v>106</v>
      </c>
      <c r="L32" s="18"/>
      <c r="M32" s="18"/>
      <c r="N32" s="18"/>
      <c r="O32" s="4" t="s">
        <v>107</v>
      </c>
      <c r="P32" s="19">
        <f>(G26*(1/G13))/(P27*P5/10000)</f>
        <v>1.8553911862909991</v>
      </c>
      <c r="Q32" s="19"/>
      <c r="R32" s="4" t="s">
        <v>96</v>
      </c>
      <c r="T32" s="5" t="s">
        <v>108</v>
      </c>
      <c r="U32" s="6">
        <f>IF(P32&gt;P33,_xlfn.CEILING.MATH(P32/P33),1)</f>
        <v>13</v>
      </c>
    </row>
    <row r="33" spans="2:21" x14ac:dyDescent="0.35">
      <c r="B33" s="8" t="s">
        <v>117</v>
      </c>
      <c r="C33" s="8"/>
      <c r="D33" s="8"/>
      <c r="E33" s="8"/>
      <c r="F33" s="1" t="s">
        <v>118</v>
      </c>
      <c r="G33" s="9">
        <f>P44*P44*P47+P45*P45*P47</f>
        <v>6.9188774603174612E-12</v>
      </c>
      <c r="H33" s="9"/>
      <c r="I33" s="1" t="s">
        <v>30</v>
      </c>
      <c r="K33" s="18" t="s">
        <v>111</v>
      </c>
      <c r="L33" s="18"/>
      <c r="M33" s="18"/>
      <c r="N33" s="18"/>
      <c r="O33" s="4" t="s">
        <v>112</v>
      </c>
      <c r="P33" s="19">
        <f>P32*G27</f>
        <v>0.14658200697747015</v>
      </c>
      <c r="Q33" s="19"/>
      <c r="R33" s="4" t="s">
        <v>96</v>
      </c>
      <c r="T33" s="5" t="s">
        <v>113</v>
      </c>
      <c r="U33" s="5">
        <f>IF(P33&gt;P32,_xlfn.CEILING.MATH(P33/P32),1)</f>
        <v>1</v>
      </c>
    </row>
    <row r="34" spans="2:21" x14ac:dyDescent="0.35">
      <c r="B34" s="8" t="s">
        <v>119</v>
      </c>
      <c r="C34" s="8"/>
      <c r="D34" s="8"/>
      <c r="E34" s="8"/>
      <c r="F34" s="1" t="s">
        <v>120</v>
      </c>
      <c r="G34" s="11">
        <f>G31+G32+G33</f>
        <v>1.724641111119414</v>
      </c>
      <c r="H34" s="11"/>
      <c r="I34" s="1" t="s">
        <v>30</v>
      </c>
      <c r="K34" s="8" t="s">
        <v>116</v>
      </c>
      <c r="L34" s="8"/>
      <c r="M34" s="8"/>
      <c r="N34" s="8"/>
      <c r="O34" s="8"/>
      <c r="P34" s="8"/>
      <c r="Q34" s="8"/>
      <c r="R34" s="8"/>
    </row>
    <row r="35" spans="2:21" x14ac:dyDescent="0.35">
      <c r="K35" s="8"/>
      <c r="L35" s="8"/>
      <c r="M35" s="8"/>
      <c r="N35" s="8"/>
      <c r="O35" s="8"/>
      <c r="P35" s="8"/>
      <c r="Q35" s="8"/>
      <c r="R35" s="8"/>
    </row>
    <row r="36" spans="2:21" x14ac:dyDescent="0.35">
      <c r="K36" s="8" t="s">
        <v>121</v>
      </c>
      <c r="L36" s="8"/>
      <c r="M36" s="8"/>
      <c r="N36" s="8"/>
      <c r="O36" s="1" t="s">
        <v>122</v>
      </c>
      <c r="P36" s="11">
        <f>(P12-P14)/2</f>
        <v>0.48</v>
      </c>
      <c r="Q36" s="11"/>
      <c r="R36" s="1" t="s">
        <v>11</v>
      </c>
    </row>
    <row r="37" spans="2:21" x14ac:dyDescent="0.35">
      <c r="B37" s="8" t="s">
        <v>125</v>
      </c>
      <c r="C37" s="8"/>
      <c r="D37" s="8"/>
      <c r="E37" s="8"/>
      <c r="F37" s="8"/>
      <c r="G37" s="8"/>
      <c r="H37" s="8"/>
      <c r="I37" s="8"/>
      <c r="K37" s="8" t="s">
        <v>163</v>
      </c>
      <c r="L37" s="8"/>
      <c r="M37" s="8"/>
      <c r="N37" s="8"/>
      <c r="O37" s="1" t="s">
        <v>123</v>
      </c>
      <c r="P37" s="11">
        <f>(P11-P13)/2</f>
        <v>0.98</v>
      </c>
      <c r="Q37" s="11"/>
      <c r="R37" s="1" t="s">
        <v>11</v>
      </c>
    </row>
    <row r="38" spans="2:21" x14ac:dyDescent="0.35">
      <c r="B38" s="8"/>
      <c r="C38" s="8"/>
      <c r="D38" s="8"/>
      <c r="E38" s="8"/>
      <c r="F38" s="8"/>
      <c r="G38" s="8"/>
      <c r="H38" s="8"/>
      <c r="I38" s="8"/>
      <c r="K38" s="8" t="s">
        <v>164</v>
      </c>
      <c r="L38" s="8"/>
      <c r="M38" s="8"/>
      <c r="N38" s="8"/>
      <c r="O38" s="2" t="s">
        <v>124</v>
      </c>
      <c r="P38" s="11">
        <f>(P12-P14)/2</f>
        <v>0.48</v>
      </c>
      <c r="Q38" s="11"/>
      <c r="R38" s="1" t="s">
        <v>11</v>
      </c>
    </row>
    <row r="39" spans="2:21" x14ac:dyDescent="0.35">
      <c r="B39" s="8" t="s">
        <v>127</v>
      </c>
      <c r="C39" s="8"/>
      <c r="D39" s="8"/>
      <c r="E39" s="8"/>
      <c r="F39" s="1" t="s">
        <v>128</v>
      </c>
      <c r="G39" s="12">
        <f>P29*G25/(G27*G26)</f>
        <v>6.37</v>
      </c>
      <c r="H39" s="12"/>
      <c r="I39" s="1" t="s">
        <v>21</v>
      </c>
      <c r="K39" s="8" t="s">
        <v>126</v>
      </c>
      <c r="L39" s="8"/>
      <c r="M39" s="8"/>
      <c r="N39" s="8"/>
      <c r="O39" s="8"/>
      <c r="P39" s="8"/>
      <c r="Q39" s="8"/>
      <c r="R39" s="8"/>
    </row>
    <row r="40" spans="2:21" x14ac:dyDescent="0.35">
      <c r="B40" s="8" t="s">
        <v>131</v>
      </c>
      <c r="C40" s="8"/>
      <c r="D40" s="8"/>
      <c r="E40" s="8"/>
      <c r="F40" s="1" t="s">
        <v>132</v>
      </c>
      <c r="G40" s="10">
        <f>(U33*P19+(U33+2)*P21)*0.1</f>
        <v>0.4</v>
      </c>
      <c r="H40" s="10"/>
      <c r="I40" s="1" t="s">
        <v>11</v>
      </c>
      <c r="K40" s="8"/>
      <c r="L40" s="8"/>
      <c r="M40" s="8"/>
      <c r="N40" s="8"/>
      <c r="O40" s="8"/>
      <c r="P40" s="8"/>
      <c r="Q40" s="8"/>
      <c r="R40" s="8"/>
    </row>
    <row r="41" spans="2:21" x14ac:dyDescent="0.35">
      <c r="B41" s="8" t="s">
        <v>135</v>
      </c>
      <c r="C41" s="8"/>
      <c r="D41" s="8"/>
      <c r="E41" s="8"/>
      <c r="F41" s="1" t="s">
        <v>136</v>
      </c>
      <c r="G41" s="10">
        <f>(U33*P19+(U33+2)*P21)*0.1</f>
        <v>0.4</v>
      </c>
      <c r="H41" s="10"/>
      <c r="I41" s="1" t="s">
        <v>11</v>
      </c>
      <c r="K41" s="8" t="s">
        <v>129</v>
      </c>
      <c r="L41" s="8"/>
      <c r="M41" s="8"/>
      <c r="N41" s="8"/>
      <c r="O41" s="1" t="s">
        <v>130</v>
      </c>
      <c r="P41" s="8">
        <f>2*P13+2*P14+2.82*P36</f>
        <v>4.3136000000000001</v>
      </c>
      <c r="Q41" s="8"/>
      <c r="R41" s="1" t="s">
        <v>11</v>
      </c>
    </row>
    <row r="42" spans="2:21" x14ac:dyDescent="0.35">
      <c r="B42" s="8" t="s">
        <v>139</v>
      </c>
      <c r="C42" s="8"/>
      <c r="D42" s="8"/>
      <c r="E42" s="8"/>
      <c r="F42" s="1" t="s">
        <v>132</v>
      </c>
      <c r="G42" s="10">
        <f>(U32*P20+(U32+2)*P22)*0.1</f>
        <v>0.41</v>
      </c>
      <c r="H42" s="10"/>
      <c r="I42" s="1" t="s">
        <v>11</v>
      </c>
      <c r="K42" s="8" t="s">
        <v>133</v>
      </c>
      <c r="L42" s="8"/>
      <c r="M42" s="8"/>
      <c r="N42" s="8"/>
      <c r="O42" s="1" t="s">
        <v>134</v>
      </c>
      <c r="P42" s="11">
        <f>P44/G27</f>
        <v>4.9575994781474231</v>
      </c>
      <c r="Q42" s="11"/>
      <c r="R42" s="1" t="s">
        <v>78</v>
      </c>
    </row>
    <row r="43" spans="2:21" x14ac:dyDescent="0.35">
      <c r="B43" s="8" t="s">
        <v>142</v>
      </c>
      <c r="C43" s="8"/>
      <c r="D43" s="8"/>
      <c r="E43" s="8"/>
      <c r="F43" s="1" t="s">
        <v>136</v>
      </c>
      <c r="G43" s="10">
        <f>(U32*P20+(U32+2)*P22)*0.1</f>
        <v>0.41</v>
      </c>
      <c r="H43" s="10"/>
      <c r="I43" s="1" t="s">
        <v>11</v>
      </c>
      <c r="K43" s="8" t="s">
        <v>137</v>
      </c>
      <c r="L43" s="8"/>
      <c r="M43" s="8"/>
      <c r="N43" s="8"/>
      <c r="O43" s="1" t="s">
        <v>138</v>
      </c>
      <c r="P43" s="11">
        <f>P45/G27</f>
        <v>5.2645401630708886</v>
      </c>
      <c r="Q43" s="11"/>
      <c r="R43" s="1" t="s">
        <v>78</v>
      </c>
    </row>
    <row r="44" spans="2:21" x14ac:dyDescent="0.35">
      <c r="B44" s="13" t="s">
        <v>145</v>
      </c>
      <c r="C44" s="14"/>
      <c r="D44" s="14"/>
      <c r="E44" s="15"/>
      <c r="F44" s="1" t="s">
        <v>85</v>
      </c>
      <c r="G44" s="16">
        <f>G11/G14-G11</f>
        <v>11.111111111111114</v>
      </c>
      <c r="H44" s="17"/>
      <c r="I44" s="1" t="s">
        <v>30</v>
      </c>
      <c r="K44" s="8" t="s">
        <v>140</v>
      </c>
      <c r="L44" s="8"/>
      <c r="M44" s="8"/>
      <c r="N44" s="8"/>
      <c r="O44" s="1" t="s">
        <v>141</v>
      </c>
      <c r="P44" s="11">
        <f>G23*G16</f>
        <v>0.39166666666666666</v>
      </c>
      <c r="Q44" s="11"/>
      <c r="R44" s="1" t="s">
        <v>78</v>
      </c>
    </row>
    <row r="45" spans="2:21" x14ac:dyDescent="0.35">
      <c r="B45" s="13" t="s">
        <v>44</v>
      </c>
      <c r="C45" s="14"/>
      <c r="D45" s="14"/>
      <c r="E45" s="15"/>
      <c r="F45" s="2" t="s">
        <v>45</v>
      </c>
      <c r="G45" s="44">
        <f>(G21-G34)/G21</f>
        <v>0.98447822999992529</v>
      </c>
      <c r="H45" s="45"/>
      <c r="I45" s="1" t="s">
        <v>46</v>
      </c>
      <c r="K45" s="8" t="s">
        <v>143</v>
      </c>
      <c r="L45" s="8"/>
      <c r="M45" s="8"/>
      <c r="N45" s="8"/>
      <c r="O45" s="1" t="s">
        <v>144</v>
      </c>
      <c r="P45" s="11">
        <f>P44*SQRT((1-G16)/G16)</f>
        <v>0.41591599044892608</v>
      </c>
      <c r="Q45" s="11"/>
      <c r="R45" s="1" t="s">
        <v>78</v>
      </c>
    </row>
    <row r="46" spans="2:21" x14ac:dyDescent="0.35">
      <c r="K46" s="8" t="s">
        <v>146</v>
      </c>
      <c r="L46" s="8"/>
      <c r="M46" s="8"/>
      <c r="N46" s="8"/>
      <c r="O46" s="1" t="s">
        <v>147</v>
      </c>
      <c r="P46" s="9">
        <f>P17*P41/(P15*10000*P19/10)</f>
        <v>4.2396525714285713E-12</v>
      </c>
      <c r="Q46" s="9"/>
      <c r="R46" s="1" t="s">
        <v>148</v>
      </c>
    </row>
    <row r="47" spans="2:21" x14ac:dyDescent="0.35">
      <c r="K47" s="8" t="s">
        <v>149</v>
      </c>
      <c r="L47" s="8"/>
      <c r="M47" s="8"/>
      <c r="N47" s="8"/>
      <c r="O47" s="1" t="s">
        <v>150</v>
      </c>
      <c r="P47" s="9">
        <f>P18*P41/(P16*10000*P20/10)</f>
        <v>2.1198262857142855E-11</v>
      </c>
      <c r="Q47" s="9"/>
      <c r="R47" s="1" t="s">
        <v>148</v>
      </c>
    </row>
  </sheetData>
  <mergeCells count="142">
    <mergeCell ref="B8:E8"/>
    <mergeCell ref="G8:H8"/>
    <mergeCell ref="K8:N8"/>
    <mergeCell ref="P8:Q8"/>
    <mergeCell ref="B9:E9"/>
    <mergeCell ref="G9:H9"/>
    <mergeCell ref="K9:N9"/>
    <mergeCell ref="P9:Q9"/>
    <mergeCell ref="B3:I5"/>
    <mergeCell ref="K3:R4"/>
    <mergeCell ref="K5:N5"/>
    <mergeCell ref="P5:Q5"/>
    <mergeCell ref="B6:I7"/>
    <mergeCell ref="K6:N6"/>
    <mergeCell ref="P6:Q6"/>
    <mergeCell ref="K7:N7"/>
    <mergeCell ref="P7:Q7"/>
    <mergeCell ref="B12:E12"/>
    <mergeCell ref="G12:H12"/>
    <mergeCell ref="K12:N12"/>
    <mergeCell ref="P12:Q12"/>
    <mergeCell ref="B13:E13"/>
    <mergeCell ref="G13:H13"/>
    <mergeCell ref="K13:N13"/>
    <mergeCell ref="P13:Q13"/>
    <mergeCell ref="B10:E10"/>
    <mergeCell ref="G10:H10"/>
    <mergeCell ref="K10:N10"/>
    <mergeCell ref="P10:Q10"/>
    <mergeCell ref="B11:E11"/>
    <mergeCell ref="G11:H11"/>
    <mergeCell ref="K11:N11"/>
    <mergeCell ref="P11:Q11"/>
    <mergeCell ref="B16:E16"/>
    <mergeCell ref="G16:H16"/>
    <mergeCell ref="K16:N16"/>
    <mergeCell ref="P16:Q16"/>
    <mergeCell ref="B17:E17"/>
    <mergeCell ref="G17:H17"/>
    <mergeCell ref="K17:N17"/>
    <mergeCell ref="P17:Q17"/>
    <mergeCell ref="B14:E14"/>
    <mergeCell ref="G14:H14"/>
    <mergeCell ref="K14:N14"/>
    <mergeCell ref="P14:Q14"/>
    <mergeCell ref="B15:E15"/>
    <mergeCell ref="G15:H15"/>
    <mergeCell ref="K15:N15"/>
    <mergeCell ref="P15:Q15"/>
    <mergeCell ref="B18:E18"/>
    <mergeCell ref="G18:H18"/>
    <mergeCell ref="K18:N18"/>
    <mergeCell ref="P18:Q18"/>
    <mergeCell ref="B19:I20"/>
    <mergeCell ref="K19:N19"/>
    <mergeCell ref="P19:Q19"/>
    <mergeCell ref="K20:N20"/>
    <mergeCell ref="P20:Q20"/>
    <mergeCell ref="B24:E24"/>
    <mergeCell ref="G24:H24"/>
    <mergeCell ref="K26:N26"/>
    <mergeCell ref="P26:Q26"/>
    <mergeCell ref="B25:E25"/>
    <mergeCell ref="G25:H25"/>
    <mergeCell ref="K27:N27"/>
    <mergeCell ref="P27:Q27"/>
    <mergeCell ref="B21:E21"/>
    <mergeCell ref="G21:H21"/>
    <mergeCell ref="K23:R24"/>
    <mergeCell ref="B22:E22"/>
    <mergeCell ref="G22:H22"/>
    <mergeCell ref="B23:E23"/>
    <mergeCell ref="G23:H23"/>
    <mergeCell ref="K25:N25"/>
    <mergeCell ref="P25:Q25"/>
    <mergeCell ref="K21:N21"/>
    <mergeCell ref="P21:Q21"/>
    <mergeCell ref="K22:N22"/>
    <mergeCell ref="P22:Q22"/>
    <mergeCell ref="K30:N30"/>
    <mergeCell ref="P30:Q30"/>
    <mergeCell ref="B29:I30"/>
    <mergeCell ref="K31:N31"/>
    <mergeCell ref="P31:Q31"/>
    <mergeCell ref="T31:U31"/>
    <mergeCell ref="K32:N32"/>
    <mergeCell ref="P32:Q32"/>
    <mergeCell ref="B26:E26"/>
    <mergeCell ref="G26:H26"/>
    <mergeCell ref="K28:N28"/>
    <mergeCell ref="P28:Q28"/>
    <mergeCell ref="B27:E27"/>
    <mergeCell ref="G27:H27"/>
    <mergeCell ref="K29:N29"/>
    <mergeCell ref="P29:Q29"/>
    <mergeCell ref="B34:E34"/>
    <mergeCell ref="G34:H34"/>
    <mergeCell ref="K36:N36"/>
    <mergeCell ref="P36:Q36"/>
    <mergeCell ref="K37:N37"/>
    <mergeCell ref="P37:Q37"/>
    <mergeCell ref="B31:E31"/>
    <mergeCell ref="G31:H31"/>
    <mergeCell ref="K33:N33"/>
    <mergeCell ref="P33:Q33"/>
    <mergeCell ref="B32:E32"/>
    <mergeCell ref="G32:H32"/>
    <mergeCell ref="K34:R35"/>
    <mergeCell ref="B33:E33"/>
    <mergeCell ref="G33:H33"/>
    <mergeCell ref="K38:N38"/>
    <mergeCell ref="P38:Q38"/>
    <mergeCell ref="B37:I38"/>
    <mergeCell ref="K39:R40"/>
    <mergeCell ref="B39:E39"/>
    <mergeCell ref="G39:H39"/>
    <mergeCell ref="K41:N41"/>
    <mergeCell ref="P41:Q41"/>
    <mergeCell ref="P42:Q42"/>
    <mergeCell ref="B40:E40"/>
    <mergeCell ref="G40:H40"/>
    <mergeCell ref="B41:E41"/>
    <mergeCell ref="G41:H41"/>
    <mergeCell ref="K46:N46"/>
    <mergeCell ref="P46:Q46"/>
    <mergeCell ref="K47:N47"/>
    <mergeCell ref="P47:Q47"/>
    <mergeCell ref="B42:E42"/>
    <mergeCell ref="G42:H42"/>
    <mergeCell ref="K44:N44"/>
    <mergeCell ref="B43:E43"/>
    <mergeCell ref="G43:H43"/>
    <mergeCell ref="K45:N45"/>
    <mergeCell ref="K42:N42"/>
    <mergeCell ref="P44:Q44"/>
    <mergeCell ref="K43:N43"/>
    <mergeCell ref="P45:Q45"/>
    <mergeCell ref="P43:Q43"/>
    <mergeCell ref="B44:E44"/>
    <mergeCell ref="G44:H44"/>
    <mergeCell ref="B45:E45"/>
    <mergeCell ref="G45:H45"/>
  </mergeCells>
  <conditionalFormatting sqref="G39:H39">
    <cfRule type="cellIs" dxfId="9" priority="12" operator="greaterThan">
      <formula>$P$27</formula>
    </cfRule>
  </conditionalFormatting>
  <conditionalFormatting sqref="G40:H40 G42:H42">
    <cfRule type="cellIs" dxfId="8" priority="3" operator="lessThan">
      <formula>$P$37</formula>
    </cfRule>
  </conditionalFormatting>
  <conditionalFormatting sqref="G41:H41 G43:H43">
    <cfRule type="cellIs" dxfId="7" priority="2" operator="lessThan">
      <formula>$P$38</formula>
    </cfRule>
  </conditionalFormatting>
  <conditionalFormatting sqref="G44:H44">
    <cfRule type="cellIs" dxfId="6" priority="10" operator="greaterThan">
      <formula>$G$35</formula>
    </cfRule>
  </conditionalFormatting>
  <conditionalFormatting sqref="G45:H45">
    <cfRule type="cellIs" dxfId="5" priority="1" operator="greaterThan">
      <formula>$G$14</formula>
    </cfRule>
  </conditionalFormatting>
  <hyperlinks>
    <hyperlink ref="T4" r:id="rId1" xr:uid="{1498490E-62F7-4D8F-A3C9-8F7D8A055F73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Fletët e punës</vt:lpstr>
      </vt:variant>
      <vt:variant>
        <vt:i4>1</vt:i4>
      </vt:variant>
    </vt:vector>
  </HeadingPairs>
  <TitlesOfParts>
    <vt:vector size="1" baseType="lpstr">
      <vt:lpstr>Planarne prostokątne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Tadeusz Lorkowski</dc:creator>
  <cp:lastModifiedBy>Tadeusz Lorkowski</cp:lastModifiedBy>
  <dcterms:created xsi:type="dcterms:W3CDTF">2025-11-25T17:06:06Z</dcterms:created>
  <dcterms:modified xsi:type="dcterms:W3CDTF">2025-12-04T23:04:47Z</dcterms:modified>
</cp:coreProperties>
</file>